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1" activeTab="4" autoFilterDateGrouping="1"/>
  </bookViews>
  <sheets>
    <sheet xmlns:r="http://schemas.openxmlformats.org/officeDocument/2006/relationships" name="封面 Cover" sheetId="1" state="visible" r:id="rId1"/>
    <sheet xmlns:r="http://schemas.openxmlformats.org/officeDocument/2006/relationships" name="① Brief 投放简报" sheetId="2" state="visible" r:id="rId2"/>
    <sheet xmlns:r="http://schemas.openxmlformats.org/officeDocument/2006/relationships" name="② Summary 项目概述" sheetId="3" state="visible" r:id="rId3"/>
    <sheet xmlns:r="http://schemas.openxmlformats.org/officeDocument/2006/relationships" name="③ Strategy 阶段策略" sheetId="4" state="visible" r:id="rId4"/>
    <sheet xmlns:r="http://schemas.openxmlformats.org/officeDocument/2006/relationships" name="④ MediaPlan 投放排期" sheetId="5" state="visible" r:id="rId5"/>
    <sheet xmlns:r="http://schemas.openxmlformats.org/officeDocument/2006/relationships" name="⑤ TO-DO 任务清单" sheetId="6" state="visible" r:id="rId6"/>
    <sheet xmlns:r="http://schemas.openxmlformats.org/officeDocument/2006/relationships" name="Audience 受众画像" sheetId="7" state="visible" r:id="rId7"/>
    <sheet xmlns:r="http://schemas.openxmlformats.org/officeDocument/2006/relationships" name="Landing Page &amp; UTM" sheetId="8" state="visible" r:id="rId8"/>
    <sheet xmlns:r="http://schemas.openxmlformats.org/officeDocument/2006/relationships" name="平台文案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yyyy/mm/dd"/>
  </numFmts>
  <fonts count="23">
    <font>
      <name val="宋体"/>
      <color theme="1"/>
      <sz val="11"/>
    </font>
    <font>
      <name val="Microsoft YaHei"/>
      <charset val="134"/>
      <family val="2"/>
      <b val="1"/>
      <color rgb="FFFFFFFF"/>
      <sz val="16"/>
    </font>
    <font>
      <name val="Microsoft YaHei"/>
      <charset val="134"/>
      <family val="2"/>
      <b val="1"/>
      <color rgb="FF1F4E78"/>
      <sz val="11"/>
    </font>
    <font>
      <name val="Microsoft YaHei"/>
      <charset val="134"/>
      <family val="2"/>
      <color rgb="FF000000"/>
      <sz val="10"/>
    </font>
    <font>
      <name val="Microsoft YaHei"/>
      <charset val="134"/>
      <family val="2"/>
      <b val="1"/>
      <color rgb="FFFFFFFF"/>
      <sz val="11"/>
    </font>
    <font>
      <name val="Microsoft YaHei"/>
      <charset val="134"/>
      <family val="2"/>
      <i val="1"/>
      <color rgb="FF7F6000"/>
      <sz val="9"/>
    </font>
    <font>
      <name val="宋体"/>
      <charset val="134"/>
      <family val="3"/>
      <sz val="9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b val="1"/>
      <color rgb="FF4D4D4D"/>
      <sz val="10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color rgb="FF4D4D4D"/>
      <sz val="10"/>
    </font>
    <font>
      <name val="等线"/>
      <charset val="134"/>
      <family val="3"/>
      <b val="1"/>
      <color rgb="FFFFFFFF"/>
      <sz val="10"/>
    </font>
    <font>
      <name val="等线"/>
      <charset val="134"/>
      <family val="3"/>
      <b val="1"/>
      <color rgb="FF000000"/>
      <sz val="10"/>
    </font>
    <font>
      <name val="等线"/>
      <charset val="134"/>
      <family val="3"/>
      <color rgb="FF000000"/>
      <sz val="10"/>
    </font>
    <font>
      <name val="Calibri"/>
      <family val="2"/>
      <color rgb="FF000000"/>
      <sz val="9"/>
    </font>
    <font>
      <name val="等线"/>
      <charset val="134"/>
      <family val="3"/>
      <color rgb="FF1F2329"/>
      <sz val="10"/>
    </font>
    <font>
      <name val="等线"/>
      <charset val="134"/>
      <family val="3"/>
      <color rgb="FFF54A45"/>
      <sz val="10"/>
    </font>
    <font>
      <name val="宋体"/>
      <charset val="134"/>
      <family val="3"/>
      <b val="1"/>
      <color theme="1"/>
      <sz val="10"/>
    </font>
    <font>
      <name val="宋体"/>
      <charset val="134"/>
      <family val="3"/>
      <color rgb="FF000000"/>
      <sz val="11"/>
    </font>
    <font>
      <name val="Microsoft YaHei"/>
      <sz val="11"/>
    </font>
    <font>
      <name val="Microsoft YaHei"/>
      <b val="1"/>
      <sz val="11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9900"/>
      </patternFill>
    </fill>
    <fill>
      <patternFill patternType="solid">
        <fgColor theme="9"/>
      </patternFill>
    </fill>
    <fill>
      <patternFill patternType="solid">
        <fgColor rgb="FF3370FF"/>
      </patternFill>
    </fill>
    <fill>
      <patternFill patternType="solid">
        <fgColor rgb="FFBACEFD"/>
      </patternFill>
    </fill>
    <fill>
      <patternFill patternType="solid">
        <fgColor rgb="FFFAF1D1"/>
      </patternFill>
    </fill>
    <fill>
      <patternFill patternType="solid">
        <fgColor rgb="FFDE7802"/>
      </patternFill>
    </fill>
    <fill>
      <patternFill patternType="solid">
        <fgColor theme="4"/>
      </patternFill>
    </fill>
    <fill>
      <patternFill patternType="solid">
        <fgColor theme="4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1F2329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1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3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5" borderId="3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center" vertical="center" wrapText="1"/>
    </xf>
    <xf numFmtId="0" fontId="13" fillId="12" borderId="9" applyAlignment="1" pivotButton="0" quotePrefix="0" xfId="0">
      <alignment horizontal="center" vertical="center" wrapText="1"/>
    </xf>
    <xf numFmtId="0" fontId="13" fillId="12" borderId="13" applyAlignment="1" pivotButton="0" quotePrefix="0" xfId="0">
      <alignment horizontal="center" vertical="center" wrapText="1"/>
    </xf>
    <xf numFmtId="0" fontId="14" fillId="14" borderId="16" applyAlignment="1" pivotButton="0" quotePrefix="0" xfId="0">
      <alignment horizontal="center" vertical="center"/>
    </xf>
    <xf numFmtId="0" fontId="15" fillId="14" borderId="16" applyAlignment="1" pivotButton="0" quotePrefix="0" xfId="0">
      <alignment vertical="center" wrapText="1"/>
    </xf>
    <xf numFmtId="0" fontId="15" fillId="14" borderId="16" applyAlignment="1" pivotButton="0" quotePrefix="0" xfId="0">
      <alignment horizontal="center" vertical="center" wrapText="1"/>
    </xf>
    <xf numFmtId="0" fontId="16" fillId="14" borderId="1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13" fillId="15" borderId="18" applyAlignment="1" pivotButton="0" quotePrefix="0" xfId="0">
      <alignment horizontal="center" vertical="center" wrapText="1"/>
    </xf>
    <xf numFmtId="0" fontId="15" fillId="0" borderId="3" applyAlignment="1" pivotButton="0" quotePrefix="0" xfId="0">
      <alignment vertical="center"/>
    </xf>
    <xf numFmtId="0" fontId="17" fillId="0" borderId="3" applyAlignment="1" pivotButton="0" quotePrefix="0" xfId="0">
      <alignment vertical="center"/>
    </xf>
    <xf numFmtId="49" fontId="15" fillId="0" borderId="3" applyAlignment="1" pivotButton="0" quotePrefix="0" xfId="0">
      <alignment vertic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vertical="center"/>
    </xf>
    <xf numFmtId="49" fontId="18" fillId="0" borderId="3" applyAlignment="1" pivotButton="0" quotePrefix="0" xfId="0">
      <alignment vertical="center"/>
    </xf>
    <xf numFmtId="0" fontId="18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3" fillId="16" borderId="18" applyAlignment="1" pivotButton="0" quotePrefix="0" xfId="0">
      <alignment horizontal="center" vertical="center" wrapText="1"/>
    </xf>
    <xf numFmtId="0" fontId="13" fillId="16" borderId="19" applyAlignment="1" pivotButton="0" quotePrefix="0" xfId="0">
      <alignment horizontal="center" vertical="center" wrapText="1"/>
    </xf>
    <xf numFmtId="0" fontId="13" fillId="16" borderId="19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 wrapText="1"/>
    </xf>
    <xf numFmtId="0" fontId="8" fillId="11" borderId="7" applyAlignment="1" pivotButton="0" quotePrefix="0" xfId="0">
      <alignment horizontal="center" vertical="center" wrapText="1"/>
    </xf>
    <xf numFmtId="0" fontId="8" fillId="1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0" applyAlignment="1" pivotButton="0" quotePrefix="0" xfId="0">
      <alignment vertical="center" wrapText="1"/>
    </xf>
    <xf numFmtId="0" fontId="11" fillId="0" borderId="9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0" fontId="10" fillId="0" borderId="9" applyAlignment="1" pivotButton="0" quotePrefix="0" xfId="0">
      <alignment vertical="center" wrapText="1"/>
    </xf>
    <xf numFmtId="0" fontId="11" fillId="0" borderId="9" applyAlignment="1" pivotButton="0" quotePrefix="0" xfId="0">
      <alignment vertical="center"/>
    </xf>
    <xf numFmtId="0" fontId="11" fillId="0" borderId="9" applyAlignment="1" pivotButton="0" quotePrefix="0" xfId="0">
      <alignment vertical="center" wrapText="1"/>
    </xf>
    <xf numFmtId="0" fontId="11" fillId="0" borderId="10" applyAlignment="1" pivotButton="0" quotePrefix="0" xfId="0">
      <alignment vertical="center" wrapText="1"/>
    </xf>
    <xf numFmtId="0" fontId="19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5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/>
    </xf>
    <xf numFmtId="0" fontId="14" fillId="13" borderId="15" applyAlignment="1" pivotButton="0" quotePrefix="0" xfId="0">
      <alignment horizontal="center" vertical="center"/>
    </xf>
    <xf numFmtId="0" fontId="14" fillId="13" borderId="14" applyAlignment="1" pivotButton="0" quotePrefix="0" xfId="0">
      <alignment horizontal="center" vertical="center"/>
    </xf>
    <xf numFmtId="0" fontId="14" fillId="14" borderId="17" applyAlignment="1" pivotButton="0" quotePrefix="0" xfId="0">
      <alignment horizontal="center" vertical="center"/>
    </xf>
    <xf numFmtId="0" fontId="14" fillId="14" borderId="15" applyAlignment="1" pivotButton="0" quotePrefix="0" xfId="0">
      <alignment horizontal="center" vertical="center"/>
    </xf>
    <xf numFmtId="0" fontId="14" fillId="14" borderId="14" applyAlignment="1" pivotButton="0" quotePrefix="0" xfId="0">
      <alignment horizontal="center" vertical="center"/>
    </xf>
    <xf numFmtId="0" fontId="15" fillId="14" borderId="17" applyAlignment="1" pivotButton="0" quotePrefix="0" xfId="0">
      <alignment horizontal="center" vertical="center" wrapText="1"/>
    </xf>
    <xf numFmtId="0" fontId="15" fillId="14" borderId="15" applyAlignment="1" pivotButton="0" quotePrefix="0" xfId="0">
      <alignment horizontal="center" vertical="center" wrapText="1"/>
    </xf>
    <xf numFmtId="0" fontId="15" fillId="14" borderId="14" applyAlignment="1" pivotButton="0" quotePrefix="0" xfId="0">
      <alignment horizontal="center" vertical="center" wrapText="1"/>
    </xf>
    <xf numFmtId="0" fontId="0" fillId="0" borderId="24" pivotButton="0" quotePrefix="0" xfId="0"/>
    <xf numFmtId="164" fontId="3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left" vertical="center" wrapText="1"/>
    </xf>
    <xf numFmtId="0" fontId="14" fillId="13" borderId="9" applyAlignment="1" pivotButton="0" quotePrefix="0" xfId="0">
      <alignment horizontal="center" vertical="center"/>
    </xf>
    <xf numFmtId="0" fontId="0" fillId="0" borderId="15" pivotButton="0" quotePrefix="0" xfId="0"/>
    <xf numFmtId="0" fontId="14" fillId="14" borderId="9" applyAlignment="1" pivotButton="0" quotePrefix="0" xfId="0">
      <alignment horizontal="center" vertical="center"/>
    </xf>
    <xf numFmtId="0" fontId="15" fillId="14" borderId="9" applyAlignment="1" pivotButton="0" quotePrefix="0" xfId="0">
      <alignment horizontal="center" vertical="center" wrapText="1"/>
    </xf>
    <xf numFmtId="0" fontId="0" fillId="0" borderId="14" pivotButton="0" quotePrefix="0" xfId="0"/>
    <xf numFmtId="0" fontId="2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topLeftCell="A7" workbookViewId="0">
      <selection activeCell="A1" sqref="A1"/>
    </sheetView>
  </sheetViews>
  <sheetFormatPr baseColWidth="8" defaultColWidth="8.796875" defaultRowHeight="13.5"/>
  <cols>
    <col width="3" customWidth="1" style="74" min="1" max="1"/>
    <col width="40.1328125" customWidth="1" style="74" min="2" max="2"/>
    <col width="18" customWidth="1" style="74" min="3" max="7"/>
    <col width="3" customWidth="1" style="74" min="8" max="8"/>
  </cols>
  <sheetData>
    <row r="2" ht="30" customHeight="1" s="74">
      <c r="B2" s="73" t="inlineStr">
        <is>
          <t>Media Plan 投放策略表 / Company Standard Template</t>
        </is>
      </c>
    </row>
    <row r="3" ht="30" customHeight="1" s="74"/>
    <row r="5" ht="24" customHeight="1" s="74">
      <c r="B5" s="22" t="inlineStr">
        <is>
          <t>项目名称 Project Name</t>
        </is>
      </c>
      <c r="C5" s="75" t="n"/>
      <c r="D5" s="44" t="n"/>
      <c r="E5" s="44" t="n"/>
      <c r="F5" s="44" t="n"/>
      <c r="G5" s="45" t="n"/>
    </row>
    <row r="6" ht="24" customHeight="1" s="74">
      <c r="B6" s="22" t="inlineStr">
        <is>
          <t>品牌 Brand</t>
        </is>
      </c>
      <c r="C6" s="75" t="n"/>
      <c r="D6" s="44" t="n"/>
      <c r="E6" s="44" t="n"/>
      <c r="F6" s="44" t="n"/>
      <c r="G6" s="45" t="n"/>
    </row>
    <row r="7" ht="24" customHeight="1" s="74">
      <c r="B7" s="22" t="inlineStr">
        <is>
          <t>投放市场 Market</t>
        </is>
      </c>
      <c r="C7" s="75" t="n"/>
      <c r="D7" s="44" t="n"/>
      <c r="E7" s="44" t="n"/>
      <c r="F7" s="44" t="n"/>
      <c r="G7" s="45" t="n"/>
    </row>
    <row r="8" ht="24" customHeight="1" s="74">
      <c r="B8" s="22" t="inlineStr">
        <is>
          <t>投放周期 Campaign Period</t>
        </is>
      </c>
      <c r="C8" s="75" t="n"/>
      <c r="D8" s="44" t="n"/>
      <c r="E8" s="44" t="n"/>
      <c r="F8" s="44" t="n"/>
      <c r="G8" s="45" t="n"/>
    </row>
    <row r="9" ht="24" customHeight="1" s="74">
      <c r="B9" s="22" t="inlineStr">
        <is>
          <t>总预算 Total Budget</t>
        </is>
      </c>
      <c r="C9" s="75" t="n"/>
      <c r="D9" s="44" t="n"/>
      <c r="E9" s="44" t="n"/>
      <c r="F9" s="44" t="n"/>
      <c r="G9" s="45" t="n"/>
    </row>
    <row r="10" ht="24" customHeight="1" s="74">
      <c r="B10" s="22" t="inlineStr">
        <is>
          <t>币种 Currency</t>
        </is>
      </c>
      <c r="C10" s="75" t="inlineStr">
        <is>
          <t>USD(默认)</t>
        </is>
      </c>
      <c r="D10" s="44" t="n"/>
      <c r="E10" s="44" t="n"/>
      <c r="F10" s="44" t="n"/>
      <c r="G10" s="45" t="n"/>
    </row>
    <row r="11" ht="24" customHeight="1" s="74">
      <c r="B11" s="22" t="inlineStr">
        <is>
          <t>负责人 Owner</t>
        </is>
      </c>
      <c r="C11" s="75" t="n"/>
      <c r="D11" s="44" t="n"/>
      <c r="E11" s="44" t="n"/>
      <c r="F11" s="44" t="n"/>
      <c r="G11" s="45" t="n"/>
    </row>
    <row r="12" ht="24" customHeight="1" s="74">
      <c r="B12" s="22" t="inlineStr">
        <is>
          <t>协作团队 Team</t>
        </is>
      </c>
      <c r="C12" s="75" t="n"/>
      <c r="D12" s="44" t="n"/>
      <c r="E12" s="44" t="n"/>
      <c r="F12" s="44" t="n"/>
      <c r="G12" s="45" t="n"/>
    </row>
    <row r="13" ht="24" customHeight="1" s="74">
      <c r="B13" s="22" t="inlineStr">
        <is>
          <t>版本 Version</t>
        </is>
      </c>
      <c r="C13" s="75" t="n"/>
      <c r="D13" s="44" t="n"/>
      <c r="E13" s="44" t="n"/>
      <c r="F13" s="44" t="n"/>
      <c r="G13" s="45" t="n"/>
    </row>
    <row r="14" ht="24" customHeight="1" s="74">
      <c r="B14" s="22" t="inlineStr">
        <is>
          <t>最后更新 Last Updated</t>
        </is>
      </c>
      <c r="C14" s="75" t="n"/>
      <c r="D14" s="44" t="n"/>
      <c r="E14" s="44" t="n"/>
      <c r="F14" s="44" t="n"/>
      <c r="G14" s="45" t="n"/>
    </row>
    <row r="16" ht="24" customHeight="1" s="74">
      <c r="B16" s="78" t="inlineStr">
        <is>
          <t>工作表导航 Sheet Index</t>
        </is>
      </c>
      <c r="C16" s="44" t="n"/>
      <c r="D16" s="44" t="n"/>
      <c r="E16" s="44" t="n"/>
      <c r="F16" s="44" t="n"/>
      <c r="G16" s="45" t="n"/>
    </row>
    <row r="17" ht="15.75" customHeight="1" s="74">
      <c r="B17" s="77" t="inlineStr">
        <is>
          <t>工作表</t>
        </is>
      </c>
      <c r="C17" s="77" t="inlineStr">
        <is>
          <t>说明</t>
        </is>
      </c>
      <c r="D17" s="44" t="n"/>
      <c r="E17" s="44" t="n"/>
      <c r="F17" s="44" t="n"/>
      <c r="G17" s="45" t="n"/>
    </row>
    <row r="18" ht="22.05" customHeight="1" s="74">
      <c r="B18" s="75" t="inlineStr">
        <is>
          <t>Brief 投放简报</t>
        </is>
      </c>
      <c r="C18" s="75" t="inlineStr">
        <is>
          <t>填写客户/品牌基础投放信息</t>
        </is>
      </c>
      <c r="D18" s="44" t="n"/>
      <c r="E18" s="44" t="n"/>
      <c r="F18" s="44" t="n"/>
      <c r="G18" s="45" t="n"/>
    </row>
    <row r="19" ht="22.05" customHeight="1" s="74">
      <c r="B19" s="75" t="inlineStr">
        <is>
          <t>Summary 项目概述</t>
        </is>
      </c>
      <c r="C19" s="75" t="inlineStr">
        <is>
          <t>沉淀背景、USP、核心受众画像、整体策略</t>
        </is>
      </c>
      <c r="D19" s="44" t="n"/>
      <c r="E19" s="44" t="n"/>
      <c r="F19" s="44" t="n"/>
      <c r="G19" s="45" t="n"/>
    </row>
    <row r="20" ht="22.05" customHeight="1" s="74">
      <c r="B20" s="75" t="inlineStr">
        <is>
          <t>Strategy 阶段策略</t>
        </is>
      </c>
      <c r="C20" s="75" t="inlineStr">
        <is>
          <t>阶段目标与动作</t>
        </is>
      </c>
      <c r="D20" s="44" t="n"/>
      <c r="E20" s="44" t="n"/>
      <c r="F20" s="44" t="n"/>
      <c r="G20" s="45" t="n"/>
    </row>
    <row r="21" ht="22.05" customHeight="1" s="74">
      <c r="B21" s="75" t="inlineStr">
        <is>
          <t>MediaPlan 投放排期</t>
        </is>
      </c>
      <c r="C21" s="75" t="inlineStr">
        <is>
          <t>每日排期及预算</t>
        </is>
      </c>
      <c r="D21" s="44" t="n"/>
      <c r="E21" s="44" t="n"/>
      <c r="F21" s="44" t="n"/>
      <c r="G21" s="45" t="n"/>
    </row>
    <row r="22" ht="22.05" customHeight="1" s="74">
      <c r="B22" s="75" t="inlineStr">
        <is>
          <t>TO-DO 任务清单</t>
        </is>
      </c>
      <c r="C22" s="75" t="inlineStr">
        <is>
          <t>任务分配、状态跟踪</t>
        </is>
      </c>
      <c r="D22" s="44" t="n"/>
      <c r="E22" s="44" t="n"/>
      <c r="F22" s="44" t="n"/>
      <c r="G22" s="45" t="n"/>
    </row>
    <row r="23" ht="22.05" customHeight="1" s="74">
      <c r="B23" s="75" t="inlineStr">
        <is>
          <t>Landing Page &amp; UTM</t>
        </is>
      </c>
      <c r="C23" s="79" t="inlineStr">
        <is>
          <t>落地页及UTM页面</t>
        </is>
      </c>
      <c r="D23" s="44" t="n"/>
      <c r="E23" s="44" t="n"/>
      <c r="F23" s="44" t="n"/>
      <c r="G23" s="45" t="n"/>
    </row>
    <row r="24" ht="22.05" customHeight="1" s="74">
      <c r="B24" s="75" t="inlineStr">
        <is>
          <t>受众画像</t>
        </is>
      </c>
      <c r="C24" s="75" t="inlineStr">
        <is>
          <t>受众画像特征</t>
        </is>
      </c>
      <c r="D24" s="44" t="n"/>
      <c r="E24" s="44" t="n"/>
      <c r="F24" s="44" t="n"/>
      <c r="G24" s="45" t="n"/>
    </row>
    <row r="25" ht="22.05" customHeight="1" s="74">
      <c r="B25" s="75" t="inlineStr">
        <is>
          <t>平台文案</t>
        </is>
      </c>
      <c r="C25" s="75" t="inlineStr">
        <is>
          <t>上传的文案素材</t>
        </is>
      </c>
      <c r="D25" s="44" t="n"/>
      <c r="E25" s="44" t="n"/>
      <c r="F25" s="44" t="n"/>
      <c r="G25" s="45" t="n"/>
    </row>
  </sheetData>
  <mergeCells count="20">
    <mergeCell ref="C6:G6"/>
    <mergeCell ref="C24:G24"/>
    <mergeCell ref="C5:G5"/>
    <mergeCell ref="C14:G14"/>
    <mergeCell ref="C20:G20"/>
    <mergeCell ref="C10:G10"/>
    <mergeCell ref="C25:G25"/>
    <mergeCell ref="C22:G22"/>
    <mergeCell ref="C9:G9"/>
    <mergeCell ref="C21:G21"/>
    <mergeCell ref="B2:G3"/>
    <mergeCell ref="C12:G12"/>
    <mergeCell ref="C11:G11"/>
    <mergeCell ref="C8:G8"/>
    <mergeCell ref="C17:G17"/>
    <mergeCell ref="B16:G16"/>
    <mergeCell ref="C7:G7"/>
    <mergeCell ref="C19:G19"/>
    <mergeCell ref="C13:G13"/>
    <mergeCell ref="C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ColWidth="8.796875" defaultRowHeight="13.5"/>
  <cols>
    <col width="3" customWidth="1" style="74" min="1" max="1"/>
    <col width="26" customWidth="1" style="74" min="2" max="2"/>
    <col width="55" customWidth="1" style="74" min="3" max="3"/>
    <col width="45" customWidth="1" style="74" min="4" max="4"/>
    <col width="3" customWidth="1" style="74" min="5" max="5"/>
  </cols>
  <sheetData>
    <row r="2" ht="28.05" customHeight="1" s="74">
      <c r="B2" s="73" t="inlineStr">
        <is>
          <t>Brief 投放简报</t>
        </is>
      </c>
    </row>
    <row r="4" ht="24" customHeight="1" s="74">
      <c r="B4" s="3" t="inlineStr">
        <is>
          <t>模块 Module</t>
        </is>
      </c>
      <c r="C4" s="3" t="inlineStr">
        <is>
          <t>投放信息 Content</t>
        </is>
      </c>
      <c r="D4" s="3" t="inlineStr">
        <is>
          <t>备注 Notes</t>
        </is>
      </c>
    </row>
    <row r="5" ht="30" customHeight="1" s="74">
      <c r="B5" s="1" t="inlineStr">
        <is>
          <t>品牌 Brand</t>
        </is>
      </c>
      <c r="C5" s="2" t="n"/>
      <c r="D5" s="4" t="inlineStr">
        <is>
          <t>填写品牌名称</t>
        </is>
      </c>
    </row>
    <row r="6" ht="30" customHeight="1" s="74">
      <c r="B6" s="1" t="inlineStr">
        <is>
          <t>投放市场 Market</t>
        </is>
      </c>
      <c r="C6" s="2" t="n"/>
      <c r="D6" s="4" t="inlineStr">
        <is>
          <t>如 US / EU / SEA 等</t>
        </is>
      </c>
    </row>
    <row r="7" ht="30" customHeight="1" s="74">
      <c r="B7" s="1" t="inlineStr">
        <is>
          <t>投放平台 Platforms</t>
        </is>
      </c>
      <c r="C7" s="2" t="n"/>
      <c r="D7" s="4" t="inlineStr">
        <is>
          <t>填写计划渠道，可多选</t>
        </is>
      </c>
    </row>
    <row r="8" ht="30" customHeight="1" s="74">
      <c r="B8" s="1" t="inlineStr">
        <is>
          <t>投放周期 Campaign Period</t>
        </is>
      </c>
      <c r="C8" s="2" t="n"/>
      <c r="D8" s="4" t="inlineStr">
        <is>
          <t>yyyy/mm/dd – yyyy/mm/dd</t>
        </is>
      </c>
    </row>
    <row r="9" ht="30" customHeight="1" s="74">
      <c r="B9" s="1" t="inlineStr">
        <is>
          <t>总预算 Total Budget</t>
        </is>
      </c>
      <c r="C9" s="2" t="n"/>
      <c r="D9" s="4" t="inlineStr">
        <is>
          <t>含币种，如 USD 100,000</t>
        </is>
      </c>
    </row>
    <row r="10" ht="30" customHeight="1" s="74">
      <c r="B10" s="1" t="inlineStr">
        <is>
          <t>Landing Page</t>
        </is>
      </c>
      <c r="C10" s="2" t="n"/>
      <c r="D10" s="4" t="inlineStr">
        <is>
          <t>推广落地页 URL</t>
        </is>
      </c>
    </row>
    <row r="11" ht="30" customHeight="1" s="74">
      <c r="B11" s="1" t="inlineStr">
        <is>
          <t>推广产品 Product(s)</t>
        </is>
      </c>
      <c r="C11" s="2" t="n"/>
      <c r="D11" s="4" t="inlineStr">
        <is>
          <t>主推 SKU / 产品名</t>
        </is>
      </c>
    </row>
    <row r="12" ht="30" customHeight="1" s="74">
      <c r="B12" s="1" t="inlineStr">
        <is>
          <t>产品预算策略 Budget Strategy</t>
        </is>
      </c>
      <c r="C12" s="2" t="n"/>
      <c r="D12" s="4" t="inlineStr">
        <is>
          <t>产品间预算分配逻辑</t>
        </is>
      </c>
    </row>
    <row r="13" ht="30" customHeight="1" s="74">
      <c r="B13" s="1" t="inlineStr">
        <is>
          <t>产品价格区间 Price Range</t>
        </is>
      </c>
      <c r="C13" s="2" t="n"/>
      <c r="D13" s="4" t="inlineStr">
        <is>
          <t>USD XX – USD XX</t>
        </is>
      </c>
    </row>
    <row r="14" ht="30" customHeight="1" s="74">
      <c r="B14" s="1" t="inlineStr">
        <is>
          <t>核心人群 Core Audience</t>
        </is>
      </c>
      <c r="C14" s="2" t="n"/>
      <c r="D14" s="4" t="inlineStr">
        <is>
          <t>人群画像、兴趣标签</t>
        </is>
      </c>
    </row>
    <row r="15" ht="30" customHeight="1" s="74">
      <c r="B15" s="1" t="inlineStr">
        <is>
          <t>年龄层 Age Range</t>
        </is>
      </c>
      <c r="C15" s="2" t="n"/>
      <c r="D15" s="4" t="inlineStr">
        <is>
          <t>如 25-44</t>
        </is>
      </c>
    </row>
    <row r="16" ht="30" customHeight="1" s="74">
      <c r="B16" s="1" t="inlineStr">
        <is>
          <t>竞品品牌 Competitor Brands</t>
        </is>
      </c>
      <c r="C16" s="2" t="n"/>
      <c r="D16" s="4" t="inlineStr">
        <is>
          <t>主要竞品列举</t>
        </is>
      </c>
    </row>
    <row r="17" ht="30" customHeight="1" s="74">
      <c r="B17" s="1" t="inlineStr">
        <is>
          <t>重点投放区域 Key Regions</t>
        </is>
      </c>
      <c r="C17" s="2" t="n"/>
      <c r="D17" s="4" t="inlineStr">
        <is>
          <t>州/城市/地区级重点</t>
        </is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ColWidth="8.796875" defaultRowHeight="13.5"/>
  <cols>
    <col width="3" customWidth="1" style="74" min="1" max="1"/>
    <col width="26" customWidth="1" style="74" min="2" max="2"/>
    <col width="90" customWidth="1" style="74" min="3" max="3"/>
    <col width="3" customWidth="1" style="74" min="4" max="4"/>
  </cols>
  <sheetData>
    <row r="2" ht="28.05" customHeight="1" s="74">
      <c r="B2" s="73" t="inlineStr">
        <is>
          <t>项目 Summary 概述</t>
        </is>
      </c>
    </row>
    <row r="4" ht="22.05" customHeight="1" s="74">
      <c r="B4" s="3" t="inlineStr">
        <is>
          <t>模块 Module</t>
        </is>
      </c>
      <c r="C4" s="28" t="inlineStr">
        <is>
          <t>内容 Content</t>
        </is>
      </c>
    </row>
    <row r="5" ht="50" customHeight="1" s="74">
      <c r="B5" s="27" t="inlineStr">
        <is>
          <t>背景 Background</t>
        </is>
      </c>
      <c r="C5" s="76" t="n"/>
    </row>
    <row r="6" ht="50" customHeight="1" s="74">
      <c r="B6" s="27" t="inlineStr">
        <is>
          <t>核心竞争力 USP</t>
        </is>
      </c>
      <c r="C6" s="76" t="n"/>
    </row>
    <row r="7" ht="50" customHeight="1" s="74">
      <c r="B7" s="27" t="inlineStr">
        <is>
          <t>推广产品 Product</t>
        </is>
      </c>
      <c r="C7" s="76" t="n"/>
    </row>
    <row r="8" ht="50" customHeight="1" s="74">
      <c r="B8" s="27" t="inlineStr">
        <is>
          <t>素材形式 Creative Format</t>
        </is>
      </c>
      <c r="C8" s="76" t="n"/>
    </row>
    <row r="9" ht="50" customHeight="1" s="74">
      <c r="B9" s="27" t="inlineStr">
        <is>
          <t>广告形式 Ad Format</t>
        </is>
      </c>
      <c r="C9" s="76" t="n"/>
    </row>
    <row r="10" ht="50" customHeight="1" s="74">
      <c r="B10" s="27" t="inlineStr">
        <is>
          <t>投放地区 Region</t>
        </is>
      </c>
      <c r="C10" s="76" t="n"/>
    </row>
    <row r="11" ht="50" customHeight="1" s="74">
      <c r="B11" s="27" t="inlineStr">
        <is>
          <t>核心受众画像 Audience Persona</t>
        </is>
      </c>
      <c r="C11" s="76" t="n"/>
    </row>
    <row r="12" ht="50" customHeight="1" s="74">
      <c r="B12" s="27" t="inlineStr">
        <is>
          <t>整体策略 Overall Strategy</t>
        </is>
      </c>
      <c r="C12" s="76" t="n"/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ColWidth="8.796875" defaultRowHeight="13.5"/>
  <cols>
    <col width="9" customWidth="1" style="74" min="1" max="1"/>
    <col width="16" customWidth="1" style="74" min="2" max="2"/>
    <col width="12" customWidth="1" style="74" min="3" max="3"/>
    <col width="21.6640625" customWidth="1" style="74" min="4" max="4"/>
    <col width="16" customWidth="1" style="74" min="5" max="5"/>
    <col width="45" customWidth="1" style="74" min="6" max="6"/>
    <col width="30" customWidth="1" style="74" min="7" max="7"/>
    <col width="28" customWidth="1" style="74" min="8" max="8"/>
    <col width="30" customWidth="1" style="74" min="9" max="9"/>
    <col width="3" customWidth="1" style="74" min="10" max="10"/>
  </cols>
  <sheetData>
    <row r="2" ht="28.05" customHeight="1" s="74">
      <c r="B2" s="73" t="inlineStr">
        <is>
          <t>投放阶段策略 Campaign Phase Strategy</t>
        </is>
      </c>
    </row>
    <row r="4" ht="30" customHeight="1" s="74">
      <c r="B4" s="3" t="inlineStr">
        <is>
          <t>时间 Period</t>
        </is>
      </c>
      <c r="C4" s="3" t="inlineStr">
        <is>
          <t>阶段 Phase</t>
        </is>
      </c>
      <c r="D4" s="3" t="inlineStr">
        <is>
          <t>预算占比 Budget %</t>
        </is>
      </c>
      <c r="E4" s="3" t="inlineStr">
        <is>
          <t>目标 Goal</t>
        </is>
      </c>
      <c r="F4" s="3" t="inlineStr">
        <is>
          <t>具体动作 Actions</t>
        </is>
      </c>
      <c r="G4" s="3" t="inlineStr">
        <is>
          <t>关注指标 KPI</t>
        </is>
      </c>
      <c r="H4" s="3" t="inlineStr">
        <is>
          <t>落地页策略 LP Strategy</t>
        </is>
      </c>
      <c r="I4" s="3" t="inlineStr">
        <is>
          <t>广告形式 Ad Format</t>
        </is>
      </c>
    </row>
    <row r="5" ht="90" customHeight="1" s="74">
      <c r="B5" s="5" t="n"/>
      <c r="C5" s="5" t="n"/>
      <c r="D5" s="6" t="n"/>
      <c r="E5" s="5" t="n"/>
      <c r="F5" s="7" t="n"/>
      <c r="G5" s="7" t="n"/>
      <c r="H5" s="7" t="n"/>
      <c r="I5" s="7" t="n"/>
    </row>
    <row r="6" ht="90" customHeight="1" s="74">
      <c r="B6" s="8" t="n"/>
      <c r="C6" s="8" t="n"/>
      <c r="D6" s="9" t="n"/>
      <c r="E6" s="8" t="n"/>
      <c r="F6" s="10" t="n"/>
      <c r="G6" s="10" t="n"/>
      <c r="H6" s="10" t="n"/>
      <c r="I6" s="10" t="n"/>
    </row>
    <row r="7" ht="90" customHeight="1" s="74">
      <c r="B7" s="11" t="n"/>
      <c r="C7" s="11" t="n"/>
      <c r="D7" s="12" t="n"/>
      <c r="E7" s="11" t="n"/>
      <c r="F7" s="13" t="n"/>
      <c r="G7" s="13" t="n"/>
      <c r="H7" s="13" t="n"/>
      <c r="I7" s="13" t="n"/>
    </row>
    <row r="8" ht="24" customHeight="1" s="74">
      <c r="B8" s="82" t="inlineStr">
        <is>
          <t>合计 Total</t>
        </is>
      </c>
      <c r="C8" s="83" t="n"/>
      <c r="D8" s="14">
        <f>SUM(D5:D7)</f>
        <v/>
      </c>
      <c r="E8" s="15" t="n"/>
      <c r="F8" s="15" t="n"/>
      <c r="G8" s="15" t="n"/>
      <c r="H8" s="15" t="n"/>
      <c r="I8" s="15" t="n"/>
    </row>
  </sheetData>
  <mergeCells count="2">
    <mergeCell ref="B8:C8"/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3"/>
  <sheetViews>
    <sheetView showGridLines="0" tabSelected="1"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ColWidth="8.796875" defaultRowHeight="13.5"/>
  <cols>
    <col width="15.46484375" customWidth="1" style="74" min="1" max="8"/>
    <col width="14" customWidth="1" style="74" min="9" max="9"/>
    <col width="10" customWidth="1" style="74" min="10" max="21"/>
    <col width="38" customWidth="1" style="74" min="22" max="22"/>
    <col width="10" customWidth="1" style="74" min="23" max="55"/>
  </cols>
  <sheetData>
    <row r="1" ht="28.05" customHeight="1" s="74">
      <c r="A1" s="73" t="inlineStr">
        <is>
          <t>Media Plan 投放排期</t>
        </is>
      </c>
    </row>
    <row r="2" ht="22.05" customHeight="1" s="74">
      <c r="A2" s="16" t="inlineStr">
        <is>
          <t>Campaign Start</t>
        </is>
      </c>
      <c r="B2" s="26" t="n">
        <v>46128</v>
      </c>
      <c r="J2" s="85" t="inlineStr">
        <is>
          <t>阶段（如：预热 Warm-up）</t>
        </is>
      </c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83" t="n"/>
      <c r="V2" s="86" t="inlineStr">
        <is>
          <t>阶段（如：上市 Launch）</t>
        </is>
      </c>
      <c r="W2" s="84" t="inlineStr">
        <is>
          <t>阶段（如：放量 Scale-up）</t>
        </is>
      </c>
      <c r="X2" s="96" t="n"/>
      <c r="Y2" s="96" t="n"/>
      <c r="Z2" s="96" t="n"/>
      <c r="AA2" s="96" t="n"/>
      <c r="AB2" s="96" t="n"/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6" t="n"/>
      <c r="AQ2" s="96" t="n"/>
      <c r="AR2" s="96" t="n"/>
      <c r="AS2" s="96" t="n"/>
      <c r="AT2" s="96" t="n"/>
      <c r="AU2" s="96" t="n"/>
      <c r="AV2" s="96" t="n"/>
      <c r="AW2" s="96" t="n"/>
      <c r="AX2" s="96" t="n"/>
      <c r="AY2" s="96" t="n"/>
      <c r="AZ2" s="96" t="n"/>
      <c r="BA2" s="96" t="n"/>
      <c r="BB2" s="96" t="n"/>
      <c r="BC2" s="83" t="n"/>
    </row>
    <row r="3" ht="20" customHeight="1" s="74">
      <c r="I3" s="16" t="inlineStr">
        <is>
          <t>日期 Date</t>
        </is>
      </c>
      <c r="J3" s="97">
        <f>$B$2+0</f>
        <v/>
      </c>
      <c r="K3" s="97">
        <f>$B$2+1</f>
        <v/>
      </c>
      <c r="L3" s="97">
        <f>$B$2+2</f>
        <v/>
      </c>
      <c r="M3" s="97">
        <f>$B$2+3</f>
        <v/>
      </c>
      <c r="N3" s="97">
        <f>$B$2+4</f>
        <v/>
      </c>
      <c r="O3" s="97">
        <f>$B$2+5</f>
        <v/>
      </c>
      <c r="P3" s="97">
        <f>$B$2+6</f>
        <v/>
      </c>
      <c r="Q3" s="97">
        <f>$B$2+7</f>
        <v/>
      </c>
      <c r="R3" s="97">
        <f>$B$2+8</f>
        <v/>
      </c>
      <c r="S3" s="97">
        <f>$B$2+9</f>
        <v/>
      </c>
      <c r="T3" s="97">
        <f>$B$2+10</f>
        <v/>
      </c>
      <c r="U3" s="97">
        <f>$B$2+11</f>
        <v/>
      </c>
      <c r="V3" s="97">
        <f>$B$2+12</f>
        <v/>
      </c>
      <c r="W3" s="97">
        <f>$B$2+13</f>
        <v/>
      </c>
      <c r="X3" s="97">
        <f>$B$2+14</f>
        <v/>
      </c>
      <c r="Y3" s="97">
        <f>$B$2+15</f>
        <v/>
      </c>
      <c r="Z3" s="97">
        <f>$B$2+16</f>
        <v/>
      </c>
      <c r="AA3" s="97">
        <f>$B$2+17</f>
        <v/>
      </c>
      <c r="AB3" s="97">
        <f>$B$2+18</f>
        <v/>
      </c>
      <c r="AC3" s="97">
        <f>$B$2+19</f>
        <v/>
      </c>
      <c r="AD3" s="97">
        <f>$B$2+20</f>
        <v/>
      </c>
      <c r="AE3" s="97">
        <f>$B$2+21</f>
        <v/>
      </c>
      <c r="AF3" s="97">
        <f>$B$2+22</f>
        <v/>
      </c>
      <c r="AG3" s="97">
        <f>$B$2+23</f>
        <v/>
      </c>
      <c r="AH3" s="97">
        <f>$B$2+24</f>
        <v/>
      </c>
      <c r="AI3" s="97">
        <f>$B$2+25</f>
        <v/>
      </c>
      <c r="AJ3" s="97">
        <f>$B$2+26</f>
        <v/>
      </c>
      <c r="AK3" s="97">
        <f>$B$2+27</f>
        <v/>
      </c>
      <c r="AL3" s="97">
        <f>$B$2+28</f>
        <v/>
      </c>
      <c r="AM3" s="97">
        <f>$B$2+29</f>
        <v/>
      </c>
      <c r="AN3" s="97">
        <f>$B$2+30</f>
        <v/>
      </c>
      <c r="AO3" s="97">
        <f>$B$2+31</f>
        <v/>
      </c>
      <c r="AP3" s="97">
        <f>$B$2+32</f>
        <v/>
      </c>
      <c r="AQ3" s="97">
        <f>$B$2+33</f>
        <v/>
      </c>
      <c r="AR3" s="97">
        <f>$B$2+34</f>
        <v/>
      </c>
      <c r="AS3" s="97">
        <f>$B$2+35</f>
        <v/>
      </c>
      <c r="AT3" s="97">
        <f>$B$2+36</f>
        <v/>
      </c>
      <c r="AU3" s="97">
        <f>$B$2+37</f>
        <v/>
      </c>
      <c r="AV3" s="97">
        <f>$B$2+38</f>
        <v/>
      </c>
      <c r="AW3" s="97">
        <f>$B$2+39</f>
        <v/>
      </c>
      <c r="AX3" s="97">
        <f>$B$2+40</f>
        <v/>
      </c>
      <c r="AY3" s="97">
        <f>$B$2+41</f>
        <v/>
      </c>
      <c r="AZ3" s="97">
        <f>$B$2+42</f>
        <v/>
      </c>
      <c r="BA3" s="97">
        <f>$B$2+43</f>
        <v/>
      </c>
      <c r="BB3" s="97">
        <f>$B$2+44</f>
        <v/>
      </c>
      <c r="BC3" s="97">
        <f>$B$2+45</f>
        <v/>
      </c>
    </row>
    <row r="4" ht="20" customHeight="1" s="74">
      <c r="I4" s="16" t="inlineStr">
        <is>
          <t>星期 Weekday</t>
        </is>
      </c>
      <c r="J4" s="18">
        <f>TEXT(J3,"aaa")</f>
        <v/>
      </c>
      <c r="K4" s="18">
        <f>TEXT(K3,"aaa")</f>
        <v/>
      </c>
      <c r="L4" s="18">
        <f>TEXT(L3,"aaa")</f>
        <v/>
      </c>
      <c r="M4" s="18">
        <f>TEXT(M3,"aaa")</f>
        <v/>
      </c>
      <c r="N4" s="18">
        <f>TEXT(N3,"aaa")</f>
        <v/>
      </c>
      <c r="O4" s="18">
        <f>TEXT(O3,"aaa")</f>
        <v/>
      </c>
      <c r="P4" s="18">
        <f>TEXT(P3,"aaa")</f>
        <v/>
      </c>
      <c r="Q4" s="18">
        <f>TEXT(Q3,"aaa")</f>
        <v/>
      </c>
      <c r="R4" s="18">
        <f>TEXT(R3,"aaa")</f>
        <v/>
      </c>
      <c r="S4" s="18">
        <f>TEXT(S3,"aaa")</f>
        <v/>
      </c>
      <c r="T4" s="18">
        <f>TEXT(T3,"aaa")</f>
        <v/>
      </c>
      <c r="U4" s="18">
        <f>TEXT(U3,"aaa")</f>
        <v/>
      </c>
      <c r="V4" s="18">
        <f>TEXT(V3,"aaa")</f>
        <v/>
      </c>
      <c r="W4" s="18">
        <f>TEXT(W3,"aaa")</f>
        <v/>
      </c>
      <c r="X4" s="18">
        <f>TEXT(X3,"aaa")</f>
        <v/>
      </c>
      <c r="Y4" s="18">
        <f>TEXT(Y3,"aaa")</f>
        <v/>
      </c>
      <c r="Z4" s="18">
        <f>TEXT(Z3,"aaa")</f>
        <v/>
      </c>
      <c r="AA4" s="18">
        <f>TEXT(AA3,"aaa")</f>
        <v/>
      </c>
      <c r="AB4" s="18">
        <f>TEXT(AB3,"aaa")</f>
        <v/>
      </c>
      <c r="AC4" s="18">
        <f>TEXT(AC3,"aaa")</f>
        <v/>
      </c>
      <c r="AD4" s="18">
        <f>TEXT(AD3,"aaa")</f>
        <v/>
      </c>
      <c r="AE4" s="18">
        <f>TEXT(AE3,"aaa")</f>
        <v/>
      </c>
      <c r="AF4" s="18">
        <f>TEXT(AF3,"aaa")</f>
        <v/>
      </c>
      <c r="AG4" s="18">
        <f>TEXT(AG3,"aaa")</f>
        <v/>
      </c>
      <c r="AH4" s="18">
        <f>TEXT(AH3,"aaa")</f>
        <v/>
      </c>
      <c r="AI4" s="18">
        <f>TEXT(AI3,"aaa")</f>
        <v/>
      </c>
      <c r="AJ4" s="18">
        <f>TEXT(AJ3,"aaa")</f>
        <v/>
      </c>
      <c r="AK4" s="18">
        <f>TEXT(AK3,"aaa")</f>
        <v/>
      </c>
      <c r="AL4" s="18">
        <f>TEXT(AL3,"aaa")</f>
        <v/>
      </c>
      <c r="AM4" s="18">
        <f>TEXT(AM3,"aaa")</f>
        <v/>
      </c>
      <c r="AN4" s="18">
        <f>TEXT(AN3,"aaa")</f>
        <v/>
      </c>
      <c r="AO4" s="18">
        <f>TEXT(AO3,"aaa")</f>
        <v/>
      </c>
      <c r="AP4" s="18">
        <f>TEXT(AP3,"aaa")</f>
        <v/>
      </c>
      <c r="AQ4" s="18">
        <f>TEXT(AQ3,"aaa")</f>
        <v/>
      </c>
      <c r="AR4" s="18">
        <f>TEXT(AR3,"aaa")</f>
        <v/>
      </c>
      <c r="AS4" s="18">
        <f>TEXT(AS3,"aaa")</f>
        <v/>
      </c>
      <c r="AT4" s="18">
        <f>TEXT(AT3,"aaa")</f>
        <v/>
      </c>
      <c r="AU4" s="18">
        <f>TEXT(AU3,"aaa")</f>
        <v/>
      </c>
      <c r="AV4" s="18">
        <f>TEXT(AV3,"aaa")</f>
        <v/>
      </c>
      <c r="AW4" s="18">
        <f>TEXT(AW3,"aaa")</f>
        <v/>
      </c>
      <c r="AX4" s="18">
        <f>TEXT(AX3,"aaa")</f>
        <v/>
      </c>
      <c r="AY4" s="18">
        <f>TEXT(AY3,"aaa")</f>
        <v/>
      </c>
      <c r="AZ4" s="18">
        <f>TEXT(AZ3,"aaa")</f>
        <v/>
      </c>
      <c r="BA4" s="18">
        <f>TEXT(BA3,"aaa")</f>
        <v/>
      </c>
      <c r="BB4" s="18">
        <f>TEXT(BB3,"aaa")</f>
        <v/>
      </c>
      <c r="BC4" s="18">
        <f>TEXT(BC3,"aaa")</f>
        <v/>
      </c>
    </row>
    <row r="5" ht="26" customHeight="1" s="74">
      <c r="A5" s="104" t="inlineStr">
        <is>
          <t>Platform 平台</t>
        </is>
      </c>
      <c r="B5" s="104" t="inlineStr">
        <is>
          <t>Nation 国家</t>
        </is>
      </c>
      <c r="C5" s="104" t="inlineStr">
        <is>
          <t>Ad Format 广告形式</t>
        </is>
      </c>
      <c r="D5" s="104" t="inlineStr">
        <is>
          <t>Goal 目标</t>
        </is>
      </c>
      <c r="E5" s="104" t="inlineStr">
        <is>
          <t>Product 产品</t>
        </is>
      </c>
      <c r="F5" s="104" t="inlineStr">
        <is>
          <t>Targeting 人群</t>
        </is>
      </c>
      <c r="G5" s="104" t="inlineStr">
        <is>
          <t>Placement 版位</t>
        </is>
      </c>
      <c r="H5" s="104" t="inlineStr">
        <is>
          <t>Creative 素材</t>
        </is>
      </c>
      <c r="I5" s="104" t="inlineStr">
        <is>
          <t>Line Total 小计</t>
        </is>
      </c>
      <c r="J5" s="104" t="inlineStr">
        <is>
          <t>Budget</t>
        </is>
      </c>
      <c r="K5" s="3" t="inlineStr">
        <is>
          <t>Budget</t>
        </is>
      </c>
      <c r="L5" s="3" t="inlineStr">
        <is>
          <t>Budget</t>
        </is>
      </c>
      <c r="M5" s="3" t="inlineStr">
        <is>
          <t>Budget</t>
        </is>
      </c>
      <c r="N5" s="3" t="inlineStr">
        <is>
          <t>Budget</t>
        </is>
      </c>
      <c r="O5" s="3" t="inlineStr">
        <is>
          <t>Budget</t>
        </is>
      </c>
      <c r="P5" s="3" t="inlineStr">
        <is>
          <t>Budget</t>
        </is>
      </c>
      <c r="Q5" s="3" t="inlineStr">
        <is>
          <t>Budget</t>
        </is>
      </c>
      <c r="R5" s="3" t="inlineStr">
        <is>
          <t>Budget</t>
        </is>
      </c>
      <c r="S5" s="3" t="inlineStr">
        <is>
          <t>Budget</t>
        </is>
      </c>
      <c r="T5" s="3" t="inlineStr">
        <is>
          <t>Budget</t>
        </is>
      </c>
      <c r="U5" s="3" t="inlineStr">
        <is>
          <t>Budget</t>
        </is>
      </c>
      <c r="V5" s="3" t="inlineStr">
        <is>
          <t>Budget</t>
        </is>
      </c>
      <c r="W5" s="3" t="inlineStr">
        <is>
          <t>Budget</t>
        </is>
      </c>
      <c r="X5" s="3" t="inlineStr">
        <is>
          <t>Budget</t>
        </is>
      </c>
      <c r="Y5" s="3" t="inlineStr">
        <is>
          <t>Budget</t>
        </is>
      </c>
      <c r="Z5" s="3" t="inlineStr">
        <is>
          <t>Budget</t>
        </is>
      </c>
      <c r="AA5" s="3" t="inlineStr">
        <is>
          <t>Budget</t>
        </is>
      </c>
      <c r="AB5" s="3" t="inlineStr">
        <is>
          <t>Budget</t>
        </is>
      </c>
      <c r="AC5" s="3" t="inlineStr">
        <is>
          <t>Budget</t>
        </is>
      </c>
      <c r="AD5" s="3" t="inlineStr">
        <is>
          <t>Budget</t>
        </is>
      </c>
      <c r="AE5" s="3" t="inlineStr">
        <is>
          <t>Budget</t>
        </is>
      </c>
      <c r="AF5" s="3" t="inlineStr">
        <is>
          <t>Budget</t>
        </is>
      </c>
      <c r="AG5" s="3" t="inlineStr">
        <is>
          <t>Budget</t>
        </is>
      </c>
      <c r="AH5" s="3" t="inlineStr">
        <is>
          <t>Budget</t>
        </is>
      </c>
      <c r="AI5" s="3" t="inlineStr">
        <is>
          <t>Budget</t>
        </is>
      </c>
      <c r="AJ5" s="3" t="inlineStr">
        <is>
          <t>Budget</t>
        </is>
      </c>
      <c r="AK5" s="3" t="inlineStr">
        <is>
          <t>Budget</t>
        </is>
      </c>
      <c r="AL5" s="3" t="inlineStr">
        <is>
          <t>Budget</t>
        </is>
      </c>
      <c r="AM5" s="3" t="inlineStr">
        <is>
          <t>Budget</t>
        </is>
      </c>
      <c r="AN5" s="3" t="inlineStr">
        <is>
          <t>Budget</t>
        </is>
      </c>
      <c r="AO5" s="3" t="inlineStr">
        <is>
          <t>Budget</t>
        </is>
      </c>
      <c r="AP5" s="3" t="inlineStr">
        <is>
          <t>Budget</t>
        </is>
      </c>
      <c r="AQ5" s="3" t="inlineStr">
        <is>
          <t>Budget</t>
        </is>
      </c>
      <c r="AR5" s="3" t="inlineStr">
        <is>
          <t>Budget</t>
        </is>
      </c>
      <c r="AS5" s="3" t="inlineStr">
        <is>
          <t>Budget</t>
        </is>
      </c>
      <c r="AT5" s="3" t="inlineStr">
        <is>
          <t>Budget</t>
        </is>
      </c>
      <c r="AU5" s="3" t="inlineStr">
        <is>
          <t>Budget</t>
        </is>
      </c>
      <c r="AV5" s="3" t="inlineStr">
        <is>
          <t>Budget</t>
        </is>
      </c>
      <c r="AW5" s="3" t="inlineStr">
        <is>
          <t>Budget</t>
        </is>
      </c>
      <c r="AX5" s="3" t="inlineStr">
        <is>
          <t>Budget</t>
        </is>
      </c>
      <c r="AY5" s="3" t="inlineStr">
        <is>
          <t>Budget</t>
        </is>
      </c>
      <c r="AZ5" s="3" t="inlineStr">
        <is>
          <t>Budget</t>
        </is>
      </c>
      <c r="BA5" s="3" t="inlineStr">
        <is>
          <t>Budget</t>
        </is>
      </c>
      <c r="BB5" s="3" t="inlineStr">
        <is>
          <t>Budget</t>
        </is>
      </c>
      <c r="BC5" s="3" t="inlineStr">
        <is>
          <t>Budget</t>
        </is>
      </c>
    </row>
    <row r="6" ht="30" customHeight="1" s="74">
      <c r="A6" s="104" t="n"/>
      <c r="B6" s="104" t="n"/>
      <c r="C6" s="104" t="n"/>
      <c r="D6" s="104" t="n"/>
      <c r="E6" s="104" t="n"/>
      <c r="F6" s="104" t="n"/>
      <c r="G6" s="104" t="n"/>
      <c r="H6" s="104" t="n"/>
      <c r="I6" s="104">
        <f>SUM(I7:I12)</f>
        <v/>
      </c>
      <c r="J6" s="104">
        <f>SUM(J7:J12)</f>
        <v/>
      </c>
    </row>
    <row r="7" ht="30" customHeight="1" s="74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</row>
    <row r="8" ht="30" customHeight="1" s="74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</row>
    <row r="9" ht="30" customHeight="1" s="74">
      <c r="A9" s="104" t="n"/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</row>
    <row r="10" ht="30" customHeight="1" s="74">
      <c r="A10" s="104" t="n"/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</row>
    <row r="11" ht="30" customHeight="1" s="74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</row>
    <row r="12">
      <c r="A12" s="104" t="n"/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</row>
    <row r="13">
      <c r="A13" s="104" t="inlineStr">
        <is>
          <t>Total 合计</t>
        </is>
      </c>
      <c r="B13" s="104" t="n"/>
      <c r="C13" s="104" t="n"/>
      <c r="D13" s="104" t="n"/>
      <c r="E13" s="104" t="n"/>
      <c r="F13" s="104" t="n"/>
      <c r="G13" s="104" t="n"/>
      <c r="H13" s="104" t="n"/>
      <c r="I13" s="104">
        <f>SUM(I7:I12)</f>
        <v/>
      </c>
      <c r="J13" s="104">
        <f>SUM(J7:J12)</f>
        <v/>
      </c>
    </row>
  </sheetData>
  <mergeCells count="4">
    <mergeCell ref="J2:U2"/>
    <mergeCell ref="W2:BC2"/>
    <mergeCell ref="V2"/>
    <mergeCell ref="A1:B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ColWidth="8.796875" defaultRowHeight="13.5"/>
  <cols>
    <col width="3" customWidth="1" style="74" min="1" max="1"/>
    <col width="28" customWidth="1" style="74" min="2" max="2"/>
    <col width="45" customWidth="1" style="74" min="3" max="3"/>
    <col width="14" customWidth="1" style="74" min="4" max="6"/>
    <col width="16" customWidth="1" style="74" min="7" max="8"/>
    <col width="28" customWidth="1" style="74" min="9" max="9"/>
    <col width="3" customWidth="1" style="74" min="10" max="10"/>
  </cols>
  <sheetData>
    <row r="2" ht="28.05" customHeight="1" s="74">
      <c r="B2" s="73" t="inlineStr">
        <is>
          <t>TO-DO 任务清单 / Campaign Task Tracker</t>
        </is>
      </c>
    </row>
    <row r="4" ht="26" customHeight="1" s="74">
      <c r="B4" s="3" t="inlineStr">
        <is>
          <t>任务名称 Task</t>
        </is>
      </c>
      <c r="C4" s="3" t="inlineStr">
        <is>
          <t>详情描述 Details</t>
        </is>
      </c>
      <c r="D4" s="3" t="inlineStr">
        <is>
          <t>状态 Status</t>
        </is>
      </c>
      <c r="E4" s="3" t="inlineStr">
        <is>
          <t>类型 Type</t>
        </is>
      </c>
      <c r="F4" s="3" t="inlineStr">
        <is>
          <t>执行/协助 Role</t>
        </is>
      </c>
      <c r="G4" s="3" t="inlineStr">
        <is>
          <t>人员 Owner</t>
        </is>
      </c>
      <c r="H4" s="3" t="inlineStr">
        <is>
          <t>截止时间 Due Date</t>
        </is>
      </c>
      <c r="I4" s="3" t="inlineStr">
        <is>
          <t>关联项 Parent Item</t>
        </is>
      </c>
    </row>
    <row r="5" ht="22.05" customHeight="1" s="74">
      <c r="B5" s="2" t="n"/>
      <c r="C5" s="2" t="n"/>
      <c r="D5" s="2" t="n"/>
      <c r="E5" s="2" t="n"/>
      <c r="F5" s="2" t="n"/>
      <c r="G5" s="2" t="n"/>
      <c r="H5" s="98" t="n"/>
      <c r="I5" s="2" t="n"/>
    </row>
    <row r="6" ht="22.05" customHeight="1" s="74">
      <c r="B6" s="2" t="n"/>
      <c r="C6" s="2" t="n"/>
      <c r="D6" s="2" t="n"/>
      <c r="E6" s="2" t="n"/>
      <c r="F6" s="2" t="n"/>
      <c r="G6" s="2" t="n"/>
      <c r="H6" s="98" t="n"/>
      <c r="I6" s="2" t="n"/>
    </row>
    <row r="7" ht="22.05" customHeight="1" s="74">
      <c r="B7" s="2" t="n"/>
      <c r="C7" s="2" t="n"/>
      <c r="D7" s="2" t="n"/>
      <c r="E7" s="2" t="n"/>
      <c r="F7" s="2" t="n"/>
      <c r="G7" s="2" t="n"/>
      <c r="H7" s="98" t="n"/>
      <c r="I7" s="2" t="n"/>
    </row>
    <row r="8" ht="22.05" customHeight="1" s="74">
      <c r="B8" s="2" t="n"/>
      <c r="C8" s="2" t="n"/>
      <c r="D8" s="2" t="n"/>
      <c r="E8" s="2" t="n"/>
      <c r="F8" s="2" t="n"/>
      <c r="G8" s="2" t="n"/>
      <c r="H8" s="98" t="n"/>
      <c r="I8" s="2" t="n"/>
    </row>
    <row r="9" ht="22.05" customHeight="1" s="74">
      <c r="B9" s="2" t="n"/>
      <c r="C9" s="2" t="n"/>
      <c r="D9" s="2" t="n"/>
      <c r="E9" s="2" t="n"/>
      <c r="F9" s="2" t="n"/>
      <c r="G9" s="2" t="n"/>
      <c r="H9" s="98" t="n"/>
      <c r="I9" s="2" t="n"/>
    </row>
    <row r="10" ht="22.05" customHeight="1" s="74">
      <c r="B10" s="2" t="n"/>
      <c r="C10" s="2" t="n"/>
      <c r="D10" s="2" t="n"/>
      <c r="E10" s="2" t="n"/>
      <c r="F10" s="2" t="n"/>
      <c r="G10" s="2" t="n"/>
      <c r="H10" s="98" t="n"/>
      <c r="I10" s="2" t="n"/>
    </row>
    <row r="11" ht="22.05" customHeight="1" s="74">
      <c r="B11" s="2" t="n"/>
      <c r="C11" s="2" t="n"/>
      <c r="D11" s="2" t="n"/>
      <c r="E11" s="2" t="n"/>
      <c r="F11" s="2" t="n"/>
      <c r="G11" s="2" t="n"/>
      <c r="H11" s="98" t="n"/>
      <c r="I11" s="2" t="n"/>
    </row>
    <row r="12" ht="22.05" customHeight="1" s="74">
      <c r="B12" s="2" t="n"/>
      <c r="C12" s="2" t="n"/>
      <c r="D12" s="2" t="n"/>
      <c r="E12" s="2" t="n"/>
      <c r="F12" s="2" t="n"/>
      <c r="G12" s="2" t="n"/>
      <c r="H12" s="98" t="n"/>
      <c r="I12" s="2" t="n"/>
    </row>
    <row r="13" ht="22.05" customHeight="1" s="74">
      <c r="B13" s="2" t="n"/>
      <c r="C13" s="2" t="n"/>
      <c r="D13" s="2" t="n"/>
      <c r="E13" s="2" t="n"/>
      <c r="F13" s="2" t="n"/>
      <c r="G13" s="2" t="n"/>
      <c r="H13" s="98" t="n"/>
      <c r="I13" s="2" t="n"/>
    </row>
    <row r="14" ht="22.05" customHeight="1" s="74">
      <c r="B14" s="2" t="n"/>
      <c r="C14" s="2" t="n"/>
      <c r="D14" s="2" t="n"/>
      <c r="E14" s="2" t="n"/>
      <c r="F14" s="2" t="n"/>
      <c r="G14" s="2" t="n"/>
      <c r="H14" s="98" t="n"/>
      <c r="I14" s="2" t="n"/>
    </row>
    <row r="15" ht="22.05" customHeight="1" s="74">
      <c r="B15" s="2" t="n"/>
      <c r="C15" s="2" t="n"/>
      <c r="D15" s="2" t="n"/>
      <c r="E15" s="2" t="n"/>
      <c r="F15" s="2" t="n"/>
      <c r="G15" s="2" t="n"/>
      <c r="H15" s="98" t="n"/>
      <c r="I15" s="2" t="n"/>
    </row>
    <row r="16" ht="22.05" customHeight="1" s="74">
      <c r="B16" s="2" t="n"/>
      <c r="C16" s="2" t="n"/>
      <c r="D16" s="2" t="n"/>
      <c r="E16" s="2" t="n"/>
      <c r="F16" s="2" t="n"/>
      <c r="G16" s="2" t="n"/>
      <c r="H16" s="98" t="n"/>
      <c r="I16" s="2" t="n"/>
    </row>
    <row r="17" ht="22.05" customHeight="1" s="74">
      <c r="B17" s="2" t="n"/>
      <c r="C17" s="2" t="n"/>
      <c r="D17" s="2" t="n"/>
      <c r="E17" s="2" t="n"/>
      <c r="F17" s="2" t="n"/>
      <c r="G17" s="2" t="n"/>
      <c r="H17" s="98" t="n"/>
      <c r="I17" s="2" t="n"/>
    </row>
    <row r="18" ht="22.05" customHeight="1" s="74">
      <c r="B18" s="2" t="n"/>
      <c r="C18" s="2" t="n"/>
      <c r="D18" s="2" t="n"/>
      <c r="E18" s="2" t="n"/>
      <c r="F18" s="2" t="n"/>
      <c r="G18" s="2" t="n"/>
      <c r="H18" s="98" t="n"/>
      <c r="I18" s="2" t="n"/>
    </row>
    <row r="19" ht="22.05" customHeight="1" s="74">
      <c r="B19" s="2" t="n"/>
      <c r="C19" s="2" t="n"/>
      <c r="D19" s="2" t="n"/>
      <c r="E19" s="2" t="n"/>
      <c r="F19" s="2" t="n"/>
      <c r="G19" s="2" t="n"/>
      <c r="H19" s="98" t="n"/>
      <c r="I19" s="2" t="n"/>
    </row>
    <row r="20" ht="22.05" customHeight="1" s="74">
      <c r="B20" s="2" t="n"/>
      <c r="C20" s="2" t="n"/>
      <c r="D20" s="2" t="n"/>
      <c r="E20" s="2" t="n"/>
      <c r="F20" s="2" t="n"/>
      <c r="G20" s="2" t="n"/>
      <c r="H20" s="98" t="n"/>
      <c r="I20" s="2" t="n"/>
    </row>
    <row r="21" ht="22.05" customHeight="1" s="74">
      <c r="B21" s="2" t="n"/>
      <c r="C21" s="2" t="n"/>
      <c r="D21" s="2" t="n"/>
      <c r="E21" s="2" t="n"/>
      <c r="F21" s="2" t="n"/>
      <c r="G21" s="2" t="n"/>
      <c r="H21" s="98" t="n"/>
      <c r="I21" s="2" t="n"/>
    </row>
    <row r="22" ht="22.05" customHeight="1" s="74">
      <c r="B22" s="2" t="n"/>
      <c r="C22" s="2" t="n"/>
      <c r="D22" s="2" t="n"/>
      <c r="E22" s="2" t="n"/>
      <c r="F22" s="2" t="n"/>
      <c r="G22" s="2" t="n"/>
      <c r="H22" s="98" t="n"/>
      <c r="I22" s="2" t="n"/>
    </row>
    <row r="23" ht="22.05" customHeight="1" s="74">
      <c r="B23" s="2" t="n"/>
      <c r="C23" s="2" t="n"/>
      <c r="D23" s="2" t="n"/>
      <c r="E23" s="2" t="n"/>
      <c r="F23" s="2" t="n"/>
      <c r="G23" s="2" t="n"/>
      <c r="H23" s="98" t="n"/>
      <c r="I23" s="2" t="n"/>
    </row>
    <row r="24" ht="22.05" customHeight="1" s="74">
      <c r="B24" s="2" t="n"/>
      <c r="C24" s="2" t="n"/>
      <c r="D24" s="2" t="n"/>
      <c r="E24" s="2" t="n"/>
      <c r="F24" s="2" t="n"/>
      <c r="G24" s="2" t="n"/>
      <c r="H24" s="98" t="n"/>
      <c r="I24" s="2" t="n"/>
    </row>
    <row r="25" ht="22.05" customHeight="1" s="74">
      <c r="B25" s="2" t="n"/>
      <c r="C25" s="2" t="n"/>
      <c r="D25" s="2" t="n"/>
      <c r="E25" s="2" t="n"/>
      <c r="F25" s="2" t="n"/>
      <c r="G25" s="2" t="n"/>
      <c r="H25" s="98" t="n"/>
      <c r="I25" s="2" t="n"/>
    </row>
    <row r="26" ht="22.05" customHeight="1" s="74">
      <c r="B26" s="2" t="n"/>
      <c r="C26" s="2" t="n"/>
      <c r="D26" s="2" t="n"/>
      <c r="E26" s="2" t="n"/>
      <c r="F26" s="2" t="n"/>
      <c r="G26" s="2" t="n"/>
      <c r="H26" s="98" t="n"/>
      <c r="I26" s="2" t="n"/>
    </row>
    <row r="27" ht="22.05" customHeight="1" s="74">
      <c r="B27" s="2" t="n"/>
      <c r="C27" s="2" t="n"/>
      <c r="D27" s="2" t="n"/>
      <c r="E27" s="2" t="n"/>
      <c r="F27" s="2" t="n"/>
      <c r="G27" s="2" t="n"/>
      <c r="H27" s="98" t="n"/>
      <c r="I27" s="2" t="n"/>
    </row>
    <row r="28" ht="22.05" customHeight="1" s="74">
      <c r="B28" s="2" t="n"/>
      <c r="C28" s="2" t="n"/>
      <c r="D28" s="2" t="n"/>
      <c r="E28" s="2" t="n"/>
      <c r="F28" s="2" t="n"/>
      <c r="G28" s="2" t="n"/>
      <c r="H28" s="98" t="n"/>
      <c r="I28" s="2" t="n"/>
    </row>
    <row r="29" ht="22.05" customHeight="1" s="74">
      <c r="B29" s="2" t="n"/>
      <c r="C29" s="2" t="n"/>
      <c r="D29" s="2" t="n"/>
      <c r="E29" s="2" t="n"/>
      <c r="F29" s="2" t="n"/>
      <c r="G29" s="2" t="n"/>
      <c r="H29" s="98" t="n"/>
      <c r="I29" s="2" t="n"/>
    </row>
    <row r="30" ht="22.05" customHeight="1" s="74">
      <c r="B30" s="2" t="n"/>
      <c r="C30" s="2" t="n"/>
      <c r="D30" s="2" t="n"/>
      <c r="E30" s="2" t="n"/>
      <c r="F30" s="2" t="n"/>
      <c r="G30" s="2" t="n"/>
      <c r="H30" s="98" t="n"/>
      <c r="I30" s="2" t="n"/>
    </row>
    <row r="31" ht="22.05" customHeight="1" s="74">
      <c r="B31" s="2" t="n"/>
      <c r="C31" s="2" t="n"/>
      <c r="D31" s="2" t="n"/>
      <c r="E31" s="2" t="n"/>
      <c r="F31" s="2" t="n"/>
      <c r="G31" s="2" t="n"/>
      <c r="H31" s="98" t="n"/>
      <c r="I31" s="2" t="n"/>
    </row>
    <row r="32" ht="22.05" customHeight="1" s="74">
      <c r="B32" s="2" t="n"/>
      <c r="C32" s="2" t="n"/>
      <c r="D32" s="2" t="n"/>
      <c r="E32" s="2" t="n"/>
      <c r="F32" s="2" t="n"/>
      <c r="G32" s="2" t="n"/>
      <c r="H32" s="98" t="n"/>
      <c r="I32" s="2" t="n"/>
    </row>
    <row r="33" ht="22.05" customHeight="1" s="74">
      <c r="B33" s="2" t="n"/>
      <c r="C33" s="2" t="n"/>
      <c r="D33" s="2" t="n"/>
      <c r="E33" s="2" t="n"/>
      <c r="F33" s="2" t="n"/>
      <c r="G33" s="2" t="n"/>
      <c r="H33" s="98" t="n"/>
      <c r="I33" s="2" t="n"/>
    </row>
    <row r="34" ht="22.05" customHeight="1" s="74">
      <c r="B34" s="2" t="n"/>
      <c r="C34" s="2" t="n"/>
      <c r="D34" s="2" t="n"/>
      <c r="E34" s="2" t="n"/>
      <c r="F34" s="2" t="n"/>
      <c r="G34" s="2" t="n"/>
      <c r="H34" s="98" t="n"/>
      <c r="I34" s="2" t="n"/>
    </row>
  </sheetData>
  <mergeCells count="1">
    <mergeCell ref="B2:I2"/>
  </mergeCells>
  <dataValidations count="1">
    <dataValidation sqref="D5:F34" showDropDown="0" showInputMessage="0" showErrorMessage="0" allowBlank="1" type="list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ColWidth="10.6640625" defaultRowHeight="13.5"/>
  <cols>
    <col width="14.46484375" customWidth="1" style="74" min="2" max="3"/>
    <col width="31.6640625" customWidth="1" style="74" min="4" max="8"/>
  </cols>
  <sheetData>
    <row r="2">
      <c r="B2" s="29" t="inlineStr">
        <is>
          <t>媒体</t>
        </is>
      </c>
      <c r="C2" s="30" t="inlineStr">
        <is>
          <t>Label命名名称</t>
        </is>
      </c>
      <c r="D2" s="30" t="inlineStr">
        <is>
          <t>Target audience</t>
        </is>
      </c>
      <c r="E2" s="30" t="inlineStr">
        <is>
          <t>Audience label</t>
        </is>
      </c>
      <c r="F2" s="30" t="inlineStr">
        <is>
          <t>Location</t>
        </is>
      </c>
      <c r="G2" s="30" t="inlineStr">
        <is>
          <t>Age</t>
        </is>
      </c>
      <c r="H2" s="30" t="inlineStr">
        <is>
          <t>Gender（Male/Female/All）</t>
        </is>
      </c>
    </row>
    <row r="3" ht="26.55" customHeight="1" s="74">
      <c r="B3" s="99" t="inlineStr">
        <is>
          <t>渠道A</t>
        </is>
      </c>
      <c r="C3" s="31" t="inlineStr">
        <is>
          <t>A</t>
        </is>
      </c>
      <c r="D3" s="32" t="inlineStr">
        <is>
          <t>宽泛人群组 (Broad - 算法自探索)适合当作对照组</t>
        </is>
      </c>
      <c r="E3" s="33" t="n"/>
      <c r="F3" s="33" t="n"/>
      <c r="G3" s="33" t="n"/>
      <c r="H3" s="33" t="n"/>
    </row>
    <row r="4" ht="26.55" customHeight="1" s="74">
      <c r="B4" s="100" t="n"/>
      <c r="C4" s="101" t="inlineStr">
        <is>
          <t>B</t>
        </is>
      </c>
      <c r="D4" s="32" t="inlineStr">
        <is>
          <t>核心兴趣</t>
        </is>
      </c>
      <c r="E4" s="33" t="n"/>
      <c r="F4" s="102" t="n"/>
      <c r="G4" s="102" t="n"/>
      <c r="H4" s="102" t="n"/>
    </row>
    <row r="5" ht="26.55" customHeight="1" s="74">
      <c r="B5" s="100" t="n"/>
      <c r="C5" s="100" t="n"/>
      <c r="D5" s="32" t="inlineStr">
        <is>
          <t>直接品类词</t>
        </is>
      </c>
      <c r="E5" s="33" t="n"/>
      <c r="F5" s="100" t="n"/>
      <c r="G5" s="100" t="n"/>
      <c r="H5" s="100" t="n"/>
    </row>
    <row r="6" ht="26.55" customHeight="1" s="74">
      <c r="B6" s="100" t="n"/>
      <c r="C6" s="100" t="n"/>
      <c r="D6" s="32" t="inlineStr">
        <is>
          <t>跨品类拓展词</t>
        </is>
      </c>
      <c r="E6" s="33" t="n"/>
      <c r="F6" s="100" t="n"/>
      <c r="G6" s="100" t="n"/>
      <c r="H6" s="100" t="n"/>
    </row>
    <row r="7" ht="26.55" customHeight="1" s="74">
      <c r="B7" s="100" t="n"/>
      <c r="C7" s="100" t="n"/>
      <c r="D7" s="32" t="inlineStr">
        <is>
          <t>人生事件标签</t>
        </is>
      </c>
      <c r="E7" s="33" t="n"/>
      <c r="F7" s="100" t="n"/>
      <c r="G7" s="103" t="n"/>
      <c r="H7" s="103" t="n"/>
    </row>
    <row r="8" ht="26.55" customHeight="1" s="74">
      <c r="B8" s="100" t="n"/>
      <c r="C8" s="103" t="n"/>
      <c r="D8" s="32" t="inlineStr">
        <is>
          <t>高价值行为标签</t>
        </is>
      </c>
      <c r="E8" s="33" t="n"/>
      <c r="F8" s="100" t="n"/>
      <c r="G8" s="102" t="n"/>
      <c r="H8" s="102" t="n"/>
    </row>
    <row r="9" ht="26.55" customHeight="1" s="74">
      <c r="B9" s="100" t="n"/>
      <c r="C9" s="31" t="inlineStr">
        <is>
          <t>C</t>
        </is>
      </c>
      <c r="D9" s="32" t="inlineStr">
        <is>
          <t>Look-a-Like</t>
        </is>
      </c>
      <c r="E9" s="33" t="n"/>
      <c r="F9" s="100" t="n"/>
      <c r="G9" s="103" t="n"/>
      <c r="H9" s="103" t="n"/>
    </row>
    <row r="10" ht="26.55" customHeight="1" s="74">
      <c r="B10" s="103" t="n"/>
      <c r="C10" s="31" t="inlineStr">
        <is>
          <t>D</t>
        </is>
      </c>
      <c r="D10" s="32" t="inlineStr">
        <is>
          <t>RMKT</t>
        </is>
      </c>
      <c r="E10" s="34" t="n"/>
      <c r="F10" s="103" t="n"/>
      <c r="G10" s="33" t="n"/>
      <c r="H10" s="33" t="n"/>
    </row>
  </sheetData>
  <mergeCells count="7">
    <mergeCell ref="H4:H7"/>
    <mergeCell ref="H8:H9"/>
    <mergeCell ref="G8:G9"/>
    <mergeCell ref="F4:F10"/>
    <mergeCell ref="G4:G7"/>
    <mergeCell ref="C4:C8"/>
    <mergeCell ref="B3:B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N12"/>
  <sheetViews>
    <sheetView workbookViewId="0">
      <selection activeCell="A1" sqref="A1"/>
    </sheetView>
  </sheetViews>
  <sheetFormatPr baseColWidth="8" defaultColWidth="10.6640625" defaultRowHeight="13.5"/>
  <cols>
    <col width="22.796875" customWidth="1" style="74" min="11" max="11"/>
  </cols>
  <sheetData>
    <row r="2" ht="38.25" customHeight="1" s="74">
      <c r="B2" s="46" t="n"/>
      <c r="C2" s="47" t="inlineStr">
        <is>
          <t>产品名称</t>
        </is>
      </c>
      <c r="D2" s="47" t="inlineStr">
        <is>
          <t>utm_soure</t>
        </is>
      </c>
      <c r="E2" s="47" t="inlineStr">
        <is>
          <t>utm_medium</t>
        </is>
      </c>
      <c r="F2" s="47" t="inlineStr">
        <is>
          <t>utm_campaign</t>
        </is>
      </c>
      <c r="G2" s="47" t="inlineStr">
        <is>
          <t>utm_term</t>
        </is>
      </c>
      <c r="H2" s="48" t="inlineStr">
        <is>
          <t>utm_content</t>
        </is>
      </c>
      <c r="I2" s="47" t="inlineStr">
        <is>
          <t>产品</t>
        </is>
      </c>
      <c r="J2" s="49" t="inlineStr">
        <is>
          <t>开始时间</t>
        </is>
      </c>
      <c r="K2" s="48" t="inlineStr">
        <is>
          <t>landing page with UTM</t>
        </is>
      </c>
      <c r="L2" s="47" t="inlineStr">
        <is>
          <t>落地页</t>
        </is>
      </c>
      <c r="M2" s="50" t="inlineStr">
        <is>
          <t>UTM</t>
        </is>
      </c>
      <c r="N2" s="36" t="inlineStr">
        <is>
          <t>landing page with UTM</t>
        </is>
      </c>
    </row>
    <row r="3">
      <c r="B3" s="37" t="n"/>
      <c r="C3" s="37" t="n"/>
      <c r="D3" s="37" t="n"/>
      <c r="E3" s="37" t="n"/>
      <c r="F3" s="37" t="n"/>
      <c r="G3" s="38" t="n"/>
      <c r="H3" s="37" t="n"/>
      <c r="I3" s="37" t="n"/>
      <c r="J3" s="39" t="n"/>
      <c r="K3" s="40" t="n"/>
      <c r="L3" s="37" t="n"/>
      <c r="M3" s="37" t="n"/>
      <c r="N3" s="76" t="n"/>
    </row>
    <row r="4">
      <c r="B4" s="41" t="n"/>
      <c r="C4" s="41" t="n"/>
      <c r="D4" s="41" t="n"/>
      <c r="E4" s="41" t="n"/>
      <c r="F4" s="41" t="n"/>
      <c r="G4" s="41" t="n"/>
      <c r="H4" s="41" t="n"/>
      <c r="I4" s="41" t="n"/>
      <c r="J4" s="42" t="n"/>
      <c r="K4" s="43" t="n"/>
      <c r="L4" s="41" t="n"/>
      <c r="M4" s="41" t="n"/>
      <c r="N4" s="76" t="n"/>
    </row>
    <row r="5">
      <c r="B5" s="37" t="n"/>
      <c r="C5" s="37" t="n"/>
      <c r="D5" s="37" t="n"/>
      <c r="E5" s="37" t="n"/>
      <c r="F5" s="37" t="n"/>
      <c r="G5" s="38" t="n"/>
      <c r="H5" s="37" t="n"/>
      <c r="I5" s="37" t="n"/>
      <c r="J5" s="39" t="n"/>
      <c r="K5" s="40" t="n"/>
      <c r="L5" s="37" t="n"/>
      <c r="M5" s="37" t="n"/>
      <c r="N5" s="76" t="n"/>
    </row>
    <row r="6">
      <c r="B6" s="37" t="n"/>
      <c r="C6" s="37" t="n"/>
      <c r="D6" s="37" t="n"/>
      <c r="E6" s="37" t="n"/>
      <c r="F6" s="37" t="n"/>
      <c r="G6" s="38" t="n"/>
      <c r="H6" s="37" t="n"/>
      <c r="I6" s="37" t="n"/>
      <c r="J6" s="39" t="n"/>
      <c r="K6" s="40" t="n"/>
      <c r="L6" s="37" t="n"/>
      <c r="M6" s="37" t="n"/>
      <c r="N6" s="76" t="n"/>
    </row>
    <row r="7">
      <c r="B7" s="37" t="n"/>
      <c r="C7" s="37" t="n"/>
      <c r="D7" s="37" t="n"/>
      <c r="E7" s="37" t="n"/>
      <c r="F7" s="37" t="n"/>
      <c r="G7" s="38" t="n"/>
      <c r="H7" s="37" t="n"/>
      <c r="I7" s="37" t="n"/>
      <c r="J7" s="39" t="n"/>
      <c r="K7" s="40" t="n"/>
      <c r="L7" s="37" t="n"/>
      <c r="M7" s="37" t="n"/>
      <c r="N7" s="76" t="n"/>
    </row>
    <row r="8"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</row>
    <row r="9"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</row>
    <row r="10">
      <c r="B10" s="76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6" t="n"/>
      <c r="N10" s="76" t="n"/>
    </row>
    <row r="11">
      <c r="B11" s="76" t="n"/>
      <c r="C11" s="76" t="n"/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</row>
    <row r="12">
      <c r="B12" s="76" t="n"/>
      <c r="C12" s="76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ColWidth="10.6640625" defaultRowHeight="13.5"/>
  <cols>
    <col width="45.46484375" customWidth="1" style="74" min="2" max="2"/>
    <col width="48.33203125" customWidth="1" style="74" min="3" max="6"/>
  </cols>
  <sheetData>
    <row r="2" ht="22.05" customFormat="1" customHeight="1" s="72">
      <c r="B2" s="51" t="inlineStr">
        <is>
          <t>产品名称</t>
        </is>
      </c>
      <c r="C2" s="52" t="n"/>
      <c r="D2" s="53" t="n"/>
      <c r="E2" s="53" t="n"/>
      <c r="F2" s="53" t="n"/>
    </row>
    <row r="3" ht="22.05" customFormat="1" customHeight="1" s="72">
      <c r="B3" s="55" t="inlineStr">
        <is>
          <t>平台 / 渠道</t>
        </is>
      </c>
      <c r="C3" s="57" t="n"/>
      <c r="D3" s="57" t="n"/>
      <c r="E3" s="57" t="n"/>
      <c r="F3" s="58" t="n"/>
    </row>
    <row r="4" ht="22.05" customFormat="1" customHeight="1" s="72">
      <c r="B4" s="55" t="inlineStr">
        <is>
          <t>层级</t>
        </is>
      </c>
      <c r="C4" s="59" t="n"/>
      <c r="D4" s="60" t="n"/>
      <c r="E4" s="61" t="n"/>
      <c r="F4" s="66" t="n"/>
    </row>
    <row r="5" ht="22.05" customFormat="1" customHeight="1" s="72">
      <c r="B5" s="55" t="inlineStr">
        <is>
          <t>主文案 / Primary text</t>
        </is>
      </c>
      <c r="C5" s="64" t="n"/>
      <c r="D5" s="64" t="n"/>
      <c r="E5" s="61" t="n"/>
      <c r="F5" s="65" t="n"/>
    </row>
    <row r="6" ht="22.05" customFormat="1" customHeight="1" s="72">
      <c r="B6" s="55" t="inlineStr">
        <is>
          <t>标题 / Headline</t>
        </is>
      </c>
      <c r="C6" s="66" t="n"/>
      <c r="D6" s="66" t="n"/>
      <c r="E6" s="67" t="n"/>
      <c r="F6" s="65" t="n"/>
    </row>
    <row r="7" ht="22.05" customFormat="1" customHeight="1" s="72">
      <c r="B7" s="68" t="inlineStr">
        <is>
          <t>描述 / Description</t>
        </is>
      </c>
      <c r="C7" s="70" t="n"/>
      <c r="D7" s="70" t="n"/>
      <c r="E7" s="71" t="n"/>
      <c r="F7" s="71" t="n"/>
    </row>
    <row r="8" ht="21.75" customHeight="1" s="74">
      <c r="B8" s="72" t="inlineStr">
        <is>
          <t>行动号召 / CTA</t>
        </is>
      </c>
      <c r="C8" s="72" t="n"/>
      <c r="D8" s="72" t="n"/>
      <c r="E8" s="72" t="n"/>
      <c r="F8" s="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2026-09-16T10:11:13Z</dcterms:created>
  <dcterms:modified xmlns:dcterms="http://purl.org/dc/terms/" xmlns:xsi="http://www.w3.org/2001/XMLSchema-instance" xsi:type="dcterms:W3CDTF">2026-09-20T03:57:26Z</dcterms:modified>
  <cp:lastModifiedBy/>
</cp:coreProperties>
</file>